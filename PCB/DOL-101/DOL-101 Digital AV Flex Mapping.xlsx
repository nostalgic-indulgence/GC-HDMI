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.tan\Documents\GCHDMI\"/>
    </mc:Choice>
  </mc:AlternateContent>
  <xr:revisionPtr revIDLastSave="0" documentId="13_ncr:1_{3ED01C13-BFA5-4D21-9753-A00F415CC982}" xr6:coauthVersionLast="47" xr6:coauthVersionMax="47" xr10:uidLastSave="{00000000-0000-0000-0000-000000000000}"/>
  <bookViews>
    <workbookView xWindow="-120" yWindow="-120" windowWidth="29040" windowHeight="15720" xr2:uid="{06FF8372-BE40-4131-8A7A-3985CA289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4" i="1"/>
</calcChain>
</file>

<file path=xl/sharedStrings.xml><?xml version="1.0" encoding="utf-8"?>
<sst xmlns="http://schemas.openxmlformats.org/spreadsheetml/2006/main" count="78" uniqueCount="22">
  <si>
    <t>Signal</t>
  </si>
  <si>
    <t>GND</t>
  </si>
  <si>
    <t>GameCube DV Pin</t>
  </si>
  <si>
    <t>GCHDMI Hookup Pin</t>
  </si>
  <si>
    <t>54MHz Clock</t>
  </si>
  <si>
    <t>Data (Audio)</t>
  </si>
  <si>
    <t>DetectCable (pull high 1.8V)</t>
  </si>
  <si>
    <t>ClkSelect (CP10)</t>
  </si>
  <si>
    <t>LRCK (Audio)</t>
  </si>
  <si>
    <t>VDATA0 (CP09)</t>
  </si>
  <si>
    <t>+12V</t>
  </si>
  <si>
    <t>27MHz Clock</t>
  </si>
  <si>
    <t>VDATA2 (CP07)</t>
  </si>
  <si>
    <t>VDATA1 (CP08)</t>
  </si>
  <si>
    <t>VDATA3 (CP06)</t>
  </si>
  <si>
    <t>VDATA4 (CP04)</t>
  </si>
  <si>
    <t>VDATA5 (CP03)</t>
  </si>
  <si>
    <t>VDATA6 (CP02)</t>
  </si>
  <si>
    <t>+3.3V</t>
  </si>
  <si>
    <t>VDATA7 (CP01)</t>
  </si>
  <si>
    <t>BCLK (Audio)</t>
  </si>
  <si>
    <t>DetectCable (pull high to 3v3)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</si>
</sst>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3354383</xdr:colOff>
      <xdr:row>1</xdr:row>
      <xdr:rowOff>3026301</xdr:rowOff>
    </xdr:from>
    <xdr:to>
      <xdr:col>8</xdr:col>
      <xdr:colOff>74082</xdr:colOff>
      <xdr:row>26</xdr:row>
      <xdr:rowOff>620550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89BD00B-43E6-1E90-BC04-7B1018210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476216" y="3216801"/>
          <a:ext cx="6615116" cy="5436499"/>
        </a:xfrm>
        <a:prstGeom prst="rect">
          <a:avLst/>
        </a:prstGeom>
      </xdr:spPr>
    </xdr:pic>
    <xdr:clientData/>
  </xdr:twoCellAnchor>
  <xdr:twoCellAnchor editAs="oneCell">
    <xdr:from>
      <xdr:col>3</xdr:col>
      <xdr:colOff>446622</xdr:colOff>
      <xdr:row>0</xdr:row>
      <xdr:rowOff>0</xdr:rowOff>
    </xdr:from>
    <xdr:to>
      <xdr:col>8</xdr:col>
      <xdr:colOff>37750</xdr:colOff>
      <xdr:row>1</xdr:row>
      <xdr:rowOff>2893695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2440DA-5D5A-6412-5BBC-DA5DECF00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>
          <a:off x="6028272" y="0"/>
          <a:ext cx="5258503" cy="307467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</xdr:row>
      <xdr:rowOff>19050</xdr:rowOff>
    </xdr:from>
    <xdr:to>
      <xdr:col>2</xdr:col>
      <xdr:colOff>0</xdr:colOff>
      <xdr:row>1</xdr:row>
      <xdr:rowOff>3152775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CF1081-5077-8909-5CA7-13F59DFA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47625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</xdr:colOff>
      <xdr:row>0</xdr:row>
      <xdr:rowOff>171449</xdr:rowOff>
    </xdr:from>
    <xdr:to>
      <xdr:col>7</xdr:col>
      <xdr:colOff>588502</xdr:colOff>
      <xdr:row>1</xdr:row>
      <xdr:rowOff>3108006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7C1EAB-911B-FE7B-6FA3-84EBFF9C3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461740" y="171449"/>
          <a:ext cx="5530179" cy="3127057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142874</xdr:colOff>
      <xdr:row>26</xdr:row>
      <xdr:rowOff>57149</xdr:rowOff>
    </xdr:from>
    <xdr:to>
      <xdr:col>5</xdr:col>
      <xdr:colOff>485774</xdr:colOff>
      <xdr:row>85</xdr:row>
      <xdr:rowOff>102463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4B2DD2-E569-2F6F-6A38-696AC88E4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" y="8084126"/>
          <a:ext cx="9512877" cy="13795951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514351</xdr:colOff>
      <xdr:row>38</xdr:row>
      <xdr:rowOff>152400</xdr:rowOff>
    </xdr:from>
    <xdr:to>
      <xdr:col>4</xdr:col>
      <xdr:colOff>241369</xdr:colOff>
      <xdr:row>76</xdr:row>
      <xdr:rowOff>67734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65A39D-50FD-6195-E0DF-1772E0C28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38301" y="12982575"/>
          <a:ext cx="5308668" cy="7154334"/>
        </a:xfrm>
        <a:prstGeom prst="rect">
          <a:avLst/>
        </a:prstGeom>
      </xdr:spPr>
    </xdr:pic>
    <xdr:clientData/>
  </xdr:twoCellAnchor>
  <xdr:twoCellAnchor editAs="oneCell">
    <xdr:from>
      <xdr:col>4</xdr:col>
      <xdr:colOff>1516208</xdr:colOff>
      <xdr:row>26</xdr:row>
      <xdr:rowOff>2542309</xdr:rowOff>
    </xdr:from>
    <xdr:to>
      <xdr:col>8</xdr:col>
      <xdr:colOff>1351685</xdr:colOff>
      <xdr:row>53</xdr:row>
      <xdr:rowOff>12058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66776DA-4F64-405C-1A32-63E32D730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8344" y="10569286"/>
          <a:ext cx="4121727" cy="5124386"/>
        </a:xfrm>
        <a:prstGeom prst="rect">
          <a:avLst/>
        </a:prstGeom>
      </xdr:spPr>
    </xdr:pic>
    <xdr:clientData/>
  </xdr:twoCellAnchor>
  <xdr:oneCellAnchor>
    <xdr:from>
      <xdr:col>6</xdr:col>
      <xdr:colOff>216112</xdr:colOff>
      <xdr:row>1</xdr:row>
      <xdr:rowOff>2110528</xdr:rowOff>
    </xdr:from>
    <xdr:ext cx="313055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E67F8B1-7BBA-71B5-78B6-49A9434FDA9C}"/>
            </a:ext>
          </a:extLst>
        </xdr:cNvPr>
        <xdr:cNvSpPr txBox="1"/>
      </xdr:nvSpPr>
      <xdr:spPr>
        <a:xfrm>
          <a:off x="10005695" y="2301028"/>
          <a:ext cx="31305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3</xdr:col>
      <xdr:colOff>87947</xdr:colOff>
      <xdr:row>1</xdr:row>
      <xdr:rowOff>2083434</xdr:rowOff>
    </xdr:from>
    <xdr:ext cx="324803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870A91E-60B0-47DF-B5D8-98BE0FF79895}"/>
            </a:ext>
          </a:extLst>
        </xdr:cNvPr>
        <xdr:cNvSpPr txBox="1"/>
      </xdr:nvSpPr>
      <xdr:spPr>
        <a:xfrm>
          <a:off x="5527780" y="2273934"/>
          <a:ext cx="324803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SG" sz="1100">
              <a:solidFill>
                <a:srgbClr val="FF0000"/>
              </a:solidFill>
            </a:rPr>
            <a:t>16</a:t>
          </a:r>
        </a:p>
      </xdr:txBody>
    </xdr:sp>
    <xdr:clientData/>
  </xdr:oneCellAnchor>
  <xdr:oneCellAnchor>
    <xdr:from>
      <xdr:col>4</xdr:col>
      <xdr:colOff>2200275</xdr:colOff>
      <xdr:row>26</xdr:row>
      <xdr:rowOff>76200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2BD4CF-31B2-45E7-8267-FA229DB2CF44}"/>
            </a:ext>
          </a:extLst>
        </xdr:cNvPr>
        <xdr:cNvSpPr txBox="1"/>
      </xdr:nvSpPr>
      <xdr:spPr>
        <a:xfrm>
          <a:off x="8905875" y="8105775"/>
          <a:ext cx="256160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SG" sz="11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1</xdr:col>
      <xdr:colOff>275360</xdr:colOff>
      <xdr:row>26</xdr:row>
      <xdr:rowOff>63212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913CDA4-449E-4866-B7AA-E486FDEB8C5A}"/>
            </a:ext>
          </a:extLst>
        </xdr:cNvPr>
        <xdr:cNvSpPr txBox="1"/>
      </xdr:nvSpPr>
      <xdr:spPr>
        <a:xfrm>
          <a:off x="1401042" y="8090189"/>
          <a:ext cx="32765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SG" sz="1100">
              <a:solidFill>
                <a:srgbClr val="FF0000"/>
              </a:solidFill>
            </a:rPr>
            <a:t>16</a:t>
          </a:r>
        </a:p>
      </xdr:txBody>
    </xdr:sp>
    <xdr:clientData/>
  </xdr:oneCellAnchor>
  <xdr:oneCellAnchor>
    <xdr:from>
      <xdr:col>1</xdr:col>
      <xdr:colOff>404378</xdr:colOff>
      <xdr:row>64</xdr:row>
      <xdr:rowOff>110836</xdr:rowOff>
    </xdr:from>
    <xdr:ext cx="39049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1365AB0-9552-46DF-A724-DEDB5CA4514C}"/>
            </a:ext>
          </a:extLst>
        </xdr:cNvPr>
        <xdr:cNvSpPr txBox="1"/>
      </xdr:nvSpPr>
      <xdr:spPr>
        <a:xfrm>
          <a:off x="1530060" y="17887950"/>
          <a:ext cx="390492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SG" sz="1100" b="1">
              <a:solidFill>
                <a:srgbClr val="FF0000"/>
              </a:solidFill>
            </a:rPr>
            <a:t>3v3</a:t>
          </a:r>
        </a:p>
      </xdr:txBody>
    </xdr:sp>
    <xdr:clientData/>
  </xdr:oneCellAnchor>
  <xdr:oneCellAnchor>
    <xdr:from>
      <xdr:col>1</xdr:col>
      <xdr:colOff>416501</xdr:colOff>
      <xdr:row>61</xdr:row>
      <xdr:rowOff>149801</xdr:rowOff>
    </xdr:from>
    <xdr:ext cx="39049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C2F455-8DEF-4FE8-B616-86620788CCAB}"/>
            </a:ext>
          </a:extLst>
        </xdr:cNvPr>
        <xdr:cNvSpPr txBox="1"/>
      </xdr:nvSpPr>
      <xdr:spPr>
        <a:xfrm>
          <a:off x="1542183" y="17355415"/>
          <a:ext cx="390492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SG" sz="1100" b="1">
              <a:solidFill>
                <a:srgbClr val="FF0000"/>
              </a:solidFill>
            </a:rPr>
            <a:t>3v3</a:t>
          </a:r>
        </a:p>
      </xdr:txBody>
    </xdr:sp>
    <xdr:clientData/>
  </xdr:oneCellAnchor>
  <xdr:oneCellAnchor>
    <xdr:from>
      <xdr:col>6</xdr:col>
      <xdr:colOff>164783</xdr:colOff>
      <xdr:row>1</xdr:row>
      <xdr:rowOff>2407920</xdr:rowOff>
    </xdr:from>
    <xdr:ext cx="351472" cy="217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D6E364-4241-4D07-A892-8C05C1E21816}"/>
            </a:ext>
          </a:extLst>
        </xdr:cNvPr>
        <xdr:cNvSpPr txBox="1"/>
      </xdr:nvSpPr>
      <xdr:spPr>
        <a:xfrm>
          <a:off x="10194608" y="2588895"/>
          <a:ext cx="351472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>
              <a:solidFill>
                <a:schemeClr val="bg1"/>
              </a:solidFill>
            </a:rPr>
            <a:t>12V</a:t>
          </a:r>
        </a:p>
      </xdr:txBody>
    </xdr:sp>
    <xdr:clientData/>
  </xdr:oneCellAnchor>
  <xdr:oneCellAnchor>
    <xdr:from>
      <xdr:col>5</xdr:col>
      <xdr:colOff>494348</xdr:colOff>
      <xdr:row>1</xdr:row>
      <xdr:rowOff>2415540</xdr:rowOff>
    </xdr:from>
    <xdr:ext cx="351472" cy="217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E5C51C-A3C7-48F6-AE0B-600CB6938D47}"/>
            </a:ext>
          </a:extLst>
        </xdr:cNvPr>
        <xdr:cNvSpPr txBox="1"/>
      </xdr:nvSpPr>
      <xdr:spPr>
        <a:xfrm>
          <a:off x="9914573" y="2596515"/>
          <a:ext cx="351472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>
              <a:solidFill>
                <a:schemeClr val="bg1"/>
              </a:solidFill>
            </a:rPr>
            <a:t>3V3</a:t>
          </a:r>
        </a:p>
      </xdr:txBody>
    </xdr:sp>
    <xdr:clientData/>
  </xdr:oneCellAnchor>
  <xdr:oneCellAnchor>
    <xdr:from>
      <xdr:col>5</xdr:col>
      <xdr:colOff>189547</xdr:colOff>
      <xdr:row>1</xdr:row>
      <xdr:rowOff>2415540</xdr:rowOff>
    </xdr:from>
    <xdr:ext cx="460057" cy="18626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12759C-8D7C-4954-ABD0-8D78643670F0}"/>
            </a:ext>
          </a:extLst>
        </xdr:cNvPr>
        <xdr:cNvSpPr txBox="1"/>
      </xdr:nvSpPr>
      <xdr:spPr>
        <a:xfrm>
          <a:off x="9609772" y="2596515"/>
          <a:ext cx="460057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600">
              <a:solidFill>
                <a:schemeClr val="bg1"/>
              </a:solidFill>
            </a:rPr>
            <a:t>VDATA7</a:t>
          </a:r>
        </a:p>
      </xdr:txBody>
    </xdr:sp>
    <xdr:clientData/>
  </xdr:oneCellAnchor>
  <xdr:oneCellAnchor>
    <xdr:from>
      <xdr:col>4</xdr:col>
      <xdr:colOff>2420302</xdr:colOff>
      <xdr:row>1</xdr:row>
      <xdr:rowOff>2417445</xdr:rowOff>
    </xdr:from>
    <xdr:ext cx="460057" cy="186269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0C3E3D-9980-4B4E-A3E6-CFAB5BE2061A}"/>
            </a:ext>
          </a:extLst>
        </xdr:cNvPr>
        <xdr:cNvSpPr txBox="1"/>
      </xdr:nvSpPr>
      <xdr:spPr>
        <a:xfrm>
          <a:off x="9306877" y="2598420"/>
          <a:ext cx="460057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600">
              <a:solidFill>
                <a:schemeClr val="bg1"/>
              </a:solidFill>
            </a:rPr>
            <a:t>VDATA5</a:t>
          </a:r>
        </a:p>
      </xdr:txBody>
    </xdr:sp>
    <xdr:clientData/>
  </xdr:oneCellAnchor>
  <xdr:oneCellAnchor>
    <xdr:from>
      <xdr:col>4</xdr:col>
      <xdr:colOff>2136457</xdr:colOff>
      <xdr:row>1</xdr:row>
      <xdr:rowOff>2417445</xdr:rowOff>
    </xdr:from>
    <xdr:ext cx="460057" cy="186269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7FD2D5A-776D-444E-A285-039B332F511D}"/>
            </a:ext>
          </a:extLst>
        </xdr:cNvPr>
        <xdr:cNvSpPr txBox="1"/>
      </xdr:nvSpPr>
      <xdr:spPr>
        <a:xfrm>
          <a:off x="9023032" y="2598420"/>
          <a:ext cx="460057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600">
              <a:solidFill>
                <a:schemeClr val="bg1"/>
              </a:solidFill>
            </a:rPr>
            <a:t>VDATA6</a:t>
          </a:r>
        </a:p>
      </xdr:txBody>
    </xdr:sp>
    <xdr:clientData/>
  </xdr:oneCellAnchor>
  <xdr:oneCellAnchor>
    <xdr:from>
      <xdr:col>4</xdr:col>
      <xdr:colOff>1873567</xdr:colOff>
      <xdr:row>1</xdr:row>
      <xdr:rowOff>2421255</xdr:rowOff>
    </xdr:from>
    <xdr:ext cx="460057" cy="186269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E59AC1B-378F-49EF-A151-680C05925D91}"/>
            </a:ext>
          </a:extLst>
        </xdr:cNvPr>
        <xdr:cNvSpPr txBox="1"/>
      </xdr:nvSpPr>
      <xdr:spPr>
        <a:xfrm>
          <a:off x="8760142" y="2602230"/>
          <a:ext cx="460057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600">
              <a:solidFill>
                <a:schemeClr val="bg1"/>
              </a:solidFill>
            </a:rPr>
            <a:t>VDATA4</a:t>
          </a:r>
        </a:p>
      </xdr:txBody>
    </xdr:sp>
    <xdr:clientData/>
  </xdr:oneCellAnchor>
  <xdr:oneCellAnchor>
    <xdr:from>
      <xdr:col>4</xdr:col>
      <xdr:colOff>1601152</xdr:colOff>
      <xdr:row>1</xdr:row>
      <xdr:rowOff>2409825</xdr:rowOff>
    </xdr:from>
    <xdr:ext cx="460057" cy="186269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BCD4B79-7B05-4FA7-9608-944BA178E4F4}"/>
            </a:ext>
          </a:extLst>
        </xdr:cNvPr>
        <xdr:cNvSpPr txBox="1"/>
      </xdr:nvSpPr>
      <xdr:spPr>
        <a:xfrm>
          <a:off x="8487727" y="2590800"/>
          <a:ext cx="460057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600">
              <a:solidFill>
                <a:schemeClr val="bg1"/>
              </a:solidFill>
            </a:rPr>
            <a:t>VDATA2</a:t>
          </a:r>
        </a:p>
      </xdr:txBody>
    </xdr:sp>
    <xdr:clientData/>
  </xdr:oneCellAnchor>
  <xdr:oneCellAnchor>
    <xdr:from>
      <xdr:col>4</xdr:col>
      <xdr:colOff>1284922</xdr:colOff>
      <xdr:row>1</xdr:row>
      <xdr:rowOff>2402205</xdr:rowOff>
    </xdr:from>
    <xdr:ext cx="460057" cy="18626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10E7AEE-ECE9-4C1F-BC5F-02CB8B8279A6}"/>
            </a:ext>
          </a:extLst>
        </xdr:cNvPr>
        <xdr:cNvSpPr txBox="1"/>
      </xdr:nvSpPr>
      <xdr:spPr>
        <a:xfrm>
          <a:off x="8171497" y="2583180"/>
          <a:ext cx="460057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600">
              <a:solidFill>
                <a:schemeClr val="bg1"/>
              </a:solidFill>
            </a:rPr>
            <a:t>VDATA1</a:t>
          </a:r>
        </a:p>
      </xdr:txBody>
    </xdr:sp>
    <xdr:clientData/>
  </xdr:oneCellAnchor>
  <xdr:oneCellAnchor>
    <xdr:from>
      <xdr:col>4</xdr:col>
      <xdr:colOff>991552</xdr:colOff>
      <xdr:row>1</xdr:row>
      <xdr:rowOff>2415540</xdr:rowOff>
    </xdr:from>
    <xdr:ext cx="460057" cy="18626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8F243AB-3531-459F-AE27-09083D5BDE11}"/>
            </a:ext>
          </a:extLst>
        </xdr:cNvPr>
        <xdr:cNvSpPr txBox="1"/>
      </xdr:nvSpPr>
      <xdr:spPr>
        <a:xfrm>
          <a:off x="7878127" y="2596515"/>
          <a:ext cx="460057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600">
              <a:solidFill>
                <a:schemeClr val="bg1"/>
              </a:solidFill>
            </a:rPr>
            <a:t>VDATA3</a:t>
          </a:r>
        </a:p>
      </xdr:txBody>
    </xdr:sp>
    <xdr:clientData/>
  </xdr:oneCellAnchor>
  <xdr:oneCellAnchor>
    <xdr:from>
      <xdr:col>4</xdr:col>
      <xdr:colOff>696277</xdr:colOff>
      <xdr:row>1</xdr:row>
      <xdr:rowOff>2409825</xdr:rowOff>
    </xdr:from>
    <xdr:ext cx="460057" cy="186269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A93E411-F75C-4DB8-A89D-E9243C19AB4C}"/>
            </a:ext>
          </a:extLst>
        </xdr:cNvPr>
        <xdr:cNvSpPr txBox="1"/>
      </xdr:nvSpPr>
      <xdr:spPr>
        <a:xfrm>
          <a:off x="7582852" y="2590800"/>
          <a:ext cx="460057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600">
              <a:solidFill>
                <a:schemeClr val="bg1"/>
              </a:solidFill>
            </a:rPr>
            <a:t>VDATA0</a:t>
          </a:r>
        </a:p>
      </xdr:txBody>
    </xdr:sp>
    <xdr:clientData/>
  </xdr:oneCellAnchor>
  <xdr:oneCellAnchor>
    <xdr:from>
      <xdr:col>4</xdr:col>
      <xdr:colOff>140017</xdr:colOff>
      <xdr:row>1</xdr:row>
      <xdr:rowOff>2381250</xdr:rowOff>
    </xdr:from>
    <xdr:ext cx="460057" cy="217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D31795D-7616-49D6-AE5C-3D4B90F5CDEF}"/>
            </a:ext>
          </a:extLst>
        </xdr:cNvPr>
        <xdr:cNvSpPr txBox="1"/>
      </xdr:nvSpPr>
      <xdr:spPr>
        <a:xfrm>
          <a:off x="7026592" y="2562225"/>
          <a:ext cx="46005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>
              <a:solidFill>
                <a:schemeClr val="bg1"/>
              </a:solidFill>
            </a:rPr>
            <a:t>CSEL</a:t>
          </a:r>
        </a:p>
      </xdr:txBody>
    </xdr:sp>
    <xdr:clientData/>
  </xdr:oneCellAnchor>
  <xdr:oneCellAnchor>
    <xdr:from>
      <xdr:col>3</xdr:col>
      <xdr:colOff>1131137</xdr:colOff>
      <xdr:row>1</xdr:row>
      <xdr:rowOff>2378306</xdr:rowOff>
    </xdr:from>
    <xdr:ext cx="460057" cy="217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3E9FBFA-34B5-4D76-A76A-458DB47920D8}"/>
            </a:ext>
          </a:extLst>
        </xdr:cNvPr>
        <xdr:cNvSpPr txBox="1"/>
      </xdr:nvSpPr>
      <xdr:spPr>
        <a:xfrm>
          <a:off x="6569046" y="2568806"/>
          <a:ext cx="46005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>
              <a:solidFill>
                <a:schemeClr val="bg1"/>
              </a:solidFill>
            </a:rPr>
            <a:t>LRCK</a:t>
          </a:r>
        </a:p>
      </xdr:txBody>
    </xdr:sp>
    <xdr:clientData/>
  </xdr:oneCellAnchor>
  <xdr:oneCellAnchor>
    <xdr:from>
      <xdr:col>3</xdr:col>
      <xdr:colOff>877252</xdr:colOff>
      <xdr:row>1</xdr:row>
      <xdr:rowOff>2373630</xdr:rowOff>
    </xdr:from>
    <xdr:ext cx="460057" cy="217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929AA89-7491-4D11-82D8-18D3A9A9C65B}"/>
            </a:ext>
          </a:extLst>
        </xdr:cNvPr>
        <xdr:cNvSpPr txBox="1"/>
      </xdr:nvSpPr>
      <xdr:spPr>
        <a:xfrm>
          <a:off x="6458902" y="2554605"/>
          <a:ext cx="46005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>
              <a:solidFill>
                <a:schemeClr val="bg1"/>
              </a:solidFill>
            </a:rPr>
            <a:t>DATA</a:t>
          </a:r>
        </a:p>
      </xdr:txBody>
    </xdr:sp>
    <xdr:clientData/>
  </xdr:oneCellAnchor>
  <xdr:oneCellAnchor>
    <xdr:from>
      <xdr:col>3</xdr:col>
      <xdr:colOff>591502</xdr:colOff>
      <xdr:row>1</xdr:row>
      <xdr:rowOff>2377440</xdr:rowOff>
    </xdr:from>
    <xdr:ext cx="460057" cy="217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560524-CB91-465F-8BCC-6990606A379B}"/>
            </a:ext>
          </a:extLst>
        </xdr:cNvPr>
        <xdr:cNvSpPr txBox="1"/>
      </xdr:nvSpPr>
      <xdr:spPr>
        <a:xfrm>
          <a:off x="6173152" y="2558415"/>
          <a:ext cx="46005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>
              <a:solidFill>
                <a:schemeClr val="bg1"/>
              </a:solidFill>
            </a:rPr>
            <a:t>BCLK</a:t>
          </a:r>
        </a:p>
      </xdr:txBody>
    </xdr:sp>
    <xdr:clientData/>
  </xdr:oneCellAnchor>
  <xdr:oneCellAnchor>
    <xdr:from>
      <xdr:col>3</xdr:col>
      <xdr:colOff>301942</xdr:colOff>
      <xdr:row>1</xdr:row>
      <xdr:rowOff>2381250</xdr:rowOff>
    </xdr:from>
    <xdr:ext cx="460057" cy="217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5E05232-231A-463E-B7A1-14317660A986}"/>
            </a:ext>
          </a:extLst>
        </xdr:cNvPr>
        <xdr:cNvSpPr txBox="1"/>
      </xdr:nvSpPr>
      <xdr:spPr>
        <a:xfrm>
          <a:off x="5883592" y="2562225"/>
          <a:ext cx="46005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>
              <a:solidFill>
                <a:schemeClr val="bg1"/>
              </a:solidFill>
            </a:rPr>
            <a:t>GND</a:t>
          </a:r>
        </a:p>
      </xdr:txBody>
    </xdr:sp>
    <xdr:clientData/>
  </xdr:oneCellAnchor>
  <xdr:oneCellAnchor>
    <xdr:from>
      <xdr:col>2</xdr:col>
      <xdr:colOff>600076</xdr:colOff>
      <xdr:row>1</xdr:row>
      <xdr:rowOff>2377440</xdr:rowOff>
    </xdr:from>
    <xdr:ext cx="470534" cy="217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CFE38DB-1990-4435-9022-FA1EB0EDE08D}"/>
            </a:ext>
          </a:extLst>
        </xdr:cNvPr>
        <xdr:cNvSpPr txBox="1"/>
      </xdr:nvSpPr>
      <xdr:spPr>
        <a:xfrm>
          <a:off x="5572126" y="2558415"/>
          <a:ext cx="470534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>
              <a:solidFill>
                <a:schemeClr val="bg1"/>
              </a:solidFill>
            </a:rPr>
            <a:t>54MHz</a:t>
          </a:r>
        </a:p>
      </xdr:txBody>
    </xdr:sp>
    <xdr:clientData/>
  </xdr:oneCellAnchor>
  <xdr:oneCellAnchor>
    <xdr:from>
      <xdr:col>4</xdr:col>
      <xdr:colOff>2009775</xdr:colOff>
      <xdr:row>26</xdr:row>
      <xdr:rowOff>447675</xdr:rowOff>
    </xdr:from>
    <xdr:ext cx="609600" cy="217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A06E4CA-D668-44B8-8943-B63772B6313D}"/>
            </a:ext>
          </a:extLst>
        </xdr:cNvPr>
        <xdr:cNvSpPr txBox="1"/>
      </xdr:nvSpPr>
      <xdr:spPr>
        <a:xfrm>
          <a:off x="8715375" y="8477250"/>
          <a:ext cx="60960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800" b="1" u="sng">
              <a:solidFill>
                <a:schemeClr val="bg1"/>
              </a:solidFill>
            </a:rPr>
            <a:t>VDATA0</a:t>
          </a:r>
        </a:p>
      </xdr:txBody>
    </xdr:sp>
    <xdr:clientData/>
  </xdr:oneCellAnchor>
  <xdr:oneCellAnchor>
    <xdr:from>
      <xdr:col>4</xdr:col>
      <xdr:colOff>1562965</xdr:colOff>
      <xdr:row>26</xdr:row>
      <xdr:rowOff>449406</xdr:rowOff>
    </xdr:from>
    <xdr:ext cx="558512" cy="217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997AD42-A796-4DA3-AE9F-9D0D032BCB27}"/>
            </a:ext>
          </a:extLst>
        </xdr:cNvPr>
        <xdr:cNvSpPr txBox="1"/>
      </xdr:nvSpPr>
      <xdr:spPr>
        <a:xfrm>
          <a:off x="8265101" y="8476383"/>
          <a:ext cx="558512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 b="1" u="sng">
              <a:solidFill>
                <a:schemeClr val="bg1"/>
              </a:solidFill>
            </a:rPr>
            <a:t>VDATA1</a:t>
          </a:r>
        </a:p>
      </xdr:txBody>
    </xdr:sp>
    <xdr:clientData/>
  </xdr:oneCellAnchor>
  <xdr:oneCellAnchor>
    <xdr:from>
      <xdr:col>4</xdr:col>
      <xdr:colOff>1008785</xdr:colOff>
      <xdr:row>26</xdr:row>
      <xdr:rowOff>450273</xdr:rowOff>
    </xdr:from>
    <xdr:ext cx="609600" cy="217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FA955C6-0A2A-48B9-AB50-8465C4949A14}"/>
            </a:ext>
          </a:extLst>
        </xdr:cNvPr>
        <xdr:cNvSpPr txBox="1"/>
      </xdr:nvSpPr>
      <xdr:spPr>
        <a:xfrm>
          <a:off x="7710921" y="8477250"/>
          <a:ext cx="60960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800" b="1" u="sng">
              <a:solidFill>
                <a:schemeClr val="bg1"/>
              </a:solidFill>
            </a:rPr>
            <a:t>VDATA2</a:t>
          </a:r>
        </a:p>
      </xdr:txBody>
    </xdr:sp>
    <xdr:clientData/>
  </xdr:oneCellAnchor>
  <xdr:oneCellAnchor>
    <xdr:from>
      <xdr:col>4</xdr:col>
      <xdr:colOff>520412</xdr:colOff>
      <xdr:row>26</xdr:row>
      <xdr:rowOff>446809</xdr:rowOff>
    </xdr:from>
    <xdr:ext cx="609600" cy="217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4BA1BDD-8C7A-4B66-87C7-F2CC4678976A}"/>
            </a:ext>
          </a:extLst>
        </xdr:cNvPr>
        <xdr:cNvSpPr txBox="1"/>
      </xdr:nvSpPr>
      <xdr:spPr>
        <a:xfrm>
          <a:off x="7222548" y="8473786"/>
          <a:ext cx="60960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800" b="1" u="sng">
              <a:solidFill>
                <a:schemeClr val="bg1"/>
              </a:solidFill>
            </a:rPr>
            <a:t>VDATA3</a:t>
          </a:r>
        </a:p>
      </xdr:txBody>
    </xdr:sp>
    <xdr:clientData/>
  </xdr:oneCellAnchor>
  <xdr:oneCellAnchor>
    <xdr:from>
      <xdr:col>4</xdr:col>
      <xdr:colOff>23380</xdr:colOff>
      <xdr:row>26</xdr:row>
      <xdr:rowOff>452005</xdr:rowOff>
    </xdr:from>
    <xdr:ext cx="609600" cy="217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F154ECC-871E-4EE0-BB46-ED650F9831F6}"/>
            </a:ext>
          </a:extLst>
        </xdr:cNvPr>
        <xdr:cNvSpPr txBox="1"/>
      </xdr:nvSpPr>
      <xdr:spPr>
        <a:xfrm>
          <a:off x="6725516" y="8478982"/>
          <a:ext cx="60960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800" b="1" u="sng">
              <a:solidFill>
                <a:schemeClr val="bg1"/>
              </a:solidFill>
            </a:rPr>
            <a:t>VDATA4</a:t>
          </a:r>
        </a:p>
      </xdr:txBody>
    </xdr:sp>
    <xdr:clientData/>
  </xdr:oneCellAnchor>
  <xdr:oneCellAnchor>
    <xdr:from>
      <xdr:col>3</xdr:col>
      <xdr:colOff>825213</xdr:colOff>
      <xdr:row>26</xdr:row>
      <xdr:rowOff>431223</xdr:rowOff>
    </xdr:from>
    <xdr:ext cx="542925" cy="217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99F2E28-A549-4ABA-9D4E-A2CCA5214222}"/>
            </a:ext>
          </a:extLst>
        </xdr:cNvPr>
        <xdr:cNvSpPr txBox="1"/>
      </xdr:nvSpPr>
      <xdr:spPr>
        <a:xfrm>
          <a:off x="6263122" y="8458200"/>
          <a:ext cx="542925" cy="217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800" b="1" u="sng">
              <a:solidFill>
                <a:schemeClr val="bg1"/>
              </a:solidFill>
            </a:rPr>
            <a:t>VDATA5</a:t>
          </a:r>
        </a:p>
      </xdr:txBody>
    </xdr:sp>
    <xdr:clientData/>
  </xdr:oneCellAnchor>
  <xdr:oneCellAnchor>
    <xdr:from>
      <xdr:col>3</xdr:col>
      <xdr:colOff>328180</xdr:colOff>
      <xdr:row>26</xdr:row>
      <xdr:rowOff>436419</xdr:rowOff>
    </xdr:from>
    <xdr:ext cx="529071" cy="217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2B1F25B-78AB-4624-BEAD-4799AB4A9406}"/>
            </a:ext>
          </a:extLst>
        </xdr:cNvPr>
        <xdr:cNvSpPr txBox="1"/>
      </xdr:nvSpPr>
      <xdr:spPr>
        <a:xfrm>
          <a:off x="5766089" y="8463396"/>
          <a:ext cx="529071" cy="217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800" b="1" u="sng">
              <a:solidFill>
                <a:schemeClr val="bg1"/>
              </a:solidFill>
            </a:rPr>
            <a:t>VDATA6</a:t>
          </a:r>
        </a:p>
      </xdr:txBody>
    </xdr:sp>
    <xdr:clientData/>
  </xdr:oneCellAnchor>
  <xdr:oneCellAnchor>
    <xdr:from>
      <xdr:col>2</xdr:col>
      <xdr:colOff>419966</xdr:colOff>
      <xdr:row>26</xdr:row>
      <xdr:rowOff>441615</xdr:rowOff>
    </xdr:from>
    <xdr:ext cx="523874" cy="217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A160051-D356-4F28-96B6-FBE1D4FE5C14}"/>
            </a:ext>
          </a:extLst>
        </xdr:cNvPr>
        <xdr:cNvSpPr txBox="1"/>
      </xdr:nvSpPr>
      <xdr:spPr>
        <a:xfrm>
          <a:off x="5251739" y="8468592"/>
          <a:ext cx="523874" cy="217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800" b="1" u="sng">
              <a:solidFill>
                <a:schemeClr val="bg1"/>
              </a:solidFill>
            </a:rPr>
            <a:t>VDATA7</a:t>
          </a:r>
        </a:p>
      </xdr:txBody>
    </xdr:sp>
    <xdr:clientData/>
  </xdr:oneCellAnchor>
  <xdr:oneCellAnchor>
    <xdr:from>
      <xdr:col>2</xdr:col>
      <xdr:colOff>12988</xdr:colOff>
      <xdr:row>26</xdr:row>
      <xdr:rowOff>449406</xdr:rowOff>
    </xdr:from>
    <xdr:ext cx="460057" cy="217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1F7CFDC-DFF2-403B-808A-7368514B538C}"/>
            </a:ext>
          </a:extLst>
        </xdr:cNvPr>
        <xdr:cNvSpPr txBox="1"/>
      </xdr:nvSpPr>
      <xdr:spPr>
        <a:xfrm>
          <a:off x="4844761" y="8476383"/>
          <a:ext cx="46005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 b="1" u="sng">
              <a:solidFill>
                <a:schemeClr val="bg1"/>
              </a:solidFill>
            </a:rPr>
            <a:t>CSEL</a:t>
          </a:r>
        </a:p>
      </xdr:txBody>
    </xdr:sp>
    <xdr:clientData/>
  </xdr:oneCellAnchor>
  <xdr:oneCellAnchor>
    <xdr:from>
      <xdr:col>1</xdr:col>
      <xdr:colOff>3195204</xdr:colOff>
      <xdr:row>26</xdr:row>
      <xdr:rowOff>446808</xdr:rowOff>
    </xdr:from>
    <xdr:ext cx="490363" cy="217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5A7E023-9AD0-45ED-A786-38A8403671D1}"/>
            </a:ext>
          </a:extLst>
        </xdr:cNvPr>
        <xdr:cNvSpPr txBox="1"/>
      </xdr:nvSpPr>
      <xdr:spPr>
        <a:xfrm>
          <a:off x="4320886" y="8473785"/>
          <a:ext cx="490363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>
              <a:solidFill>
                <a:srgbClr val="FF0000"/>
              </a:solidFill>
            </a:rPr>
            <a:t>27MHz</a:t>
          </a:r>
        </a:p>
      </xdr:txBody>
    </xdr:sp>
    <xdr:clientData/>
  </xdr:oneCellAnchor>
  <xdr:oneCellAnchor>
    <xdr:from>
      <xdr:col>1</xdr:col>
      <xdr:colOff>3243696</xdr:colOff>
      <xdr:row>26</xdr:row>
      <xdr:rowOff>339435</xdr:rowOff>
    </xdr:from>
    <xdr:ext cx="271896" cy="468013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6C1CEAE-DCCF-4C84-919A-DCC6F7369365}"/>
            </a:ext>
          </a:extLst>
        </xdr:cNvPr>
        <xdr:cNvSpPr txBox="1"/>
      </xdr:nvSpPr>
      <xdr:spPr>
        <a:xfrm>
          <a:off x="4369378" y="8366412"/>
          <a:ext cx="27189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2400">
              <a:solidFill>
                <a:srgbClr val="FF0000"/>
              </a:solidFill>
            </a:rPr>
            <a:t>X</a:t>
          </a:r>
        </a:p>
      </xdr:txBody>
    </xdr:sp>
    <xdr:clientData/>
  </xdr:oneCellAnchor>
  <xdr:oneCellAnchor>
    <xdr:from>
      <xdr:col>1</xdr:col>
      <xdr:colOff>2766579</xdr:colOff>
      <xdr:row>26</xdr:row>
      <xdr:rowOff>438149</xdr:rowOff>
    </xdr:from>
    <xdr:ext cx="351472" cy="217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F99D74D-050D-42D2-B2DA-F0B78FC65C51}"/>
            </a:ext>
          </a:extLst>
        </xdr:cNvPr>
        <xdr:cNvSpPr txBox="1"/>
      </xdr:nvSpPr>
      <xdr:spPr>
        <a:xfrm>
          <a:off x="3892261" y="8465126"/>
          <a:ext cx="351472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 b="1" u="sng">
              <a:solidFill>
                <a:schemeClr val="bg1"/>
              </a:solidFill>
            </a:rPr>
            <a:t>3V3</a:t>
          </a:r>
        </a:p>
      </xdr:txBody>
    </xdr:sp>
    <xdr:clientData/>
  </xdr:oneCellAnchor>
  <xdr:oneCellAnchor>
    <xdr:from>
      <xdr:col>3</xdr:col>
      <xdr:colOff>757669</xdr:colOff>
      <xdr:row>81</xdr:row>
      <xdr:rowOff>91785</xdr:rowOff>
    </xdr:from>
    <xdr:ext cx="58221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CCD80D-68C5-42FB-A043-5670F89FDF55}"/>
            </a:ext>
          </a:extLst>
        </xdr:cNvPr>
        <xdr:cNvSpPr txBox="1"/>
      </xdr:nvSpPr>
      <xdr:spPr>
        <a:xfrm>
          <a:off x="6195578" y="21107399"/>
          <a:ext cx="582211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SG" sz="1100" b="1">
              <a:solidFill>
                <a:srgbClr val="FF0000"/>
              </a:solidFill>
            </a:rPr>
            <a:t>54MHz</a:t>
          </a:r>
        </a:p>
      </xdr:txBody>
    </xdr:sp>
    <xdr:clientData/>
  </xdr:oneCellAnchor>
  <xdr:oneCellAnchor>
    <xdr:from>
      <xdr:col>3</xdr:col>
      <xdr:colOff>70136</xdr:colOff>
      <xdr:row>79</xdr:row>
      <xdr:rowOff>10390</xdr:rowOff>
    </xdr:from>
    <xdr:ext cx="499367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C08557F-7668-459A-881E-874DD7059123}"/>
            </a:ext>
          </a:extLst>
        </xdr:cNvPr>
        <xdr:cNvSpPr txBox="1"/>
      </xdr:nvSpPr>
      <xdr:spPr>
        <a:xfrm>
          <a:off x="5508045" y="20645004"/>
          <a:ext cx="499367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SG" sz="1100" b="1">
              <a:solidFill>
                <a:srgbClr val="FF0000"/>
              </a:solidFill>
            </a:rPr>
            <a:t>CDET</a:t>
          </a:r>
        </a:p>
      </xdr:txBody>
    </xdr:sp>
    <xdr:clientData/>
  </xdr:oneCellAnchor>
  <xdr:oneCellAnchor>
    <xdr:from>
      <xdr:col>1</xdr:col>
      <xdr:colOff>2217591</xdr:colOff>
      <xdr:row>26</xdr:row>
      <xdr:rowOff>434686</xdr:rowOff>
    </xdr:from>
    <xdr:ext cx="440750" cy="217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9F6E2BA-DE92-496D-8A9B-A0D8CE130269}"/>
            </a:ext>
          </a:extLst>
        </xdr:cNvPr>
        <xdr:cNvSpPr txBox="1"/>
      </xdr:nvSpPr>
      <xdr:spPr>
        <a:xfrm>
          <a:off x="3343273" y="8461663"/>
          <a:ext cx="44075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 b="1" u="sng">
              <a:solidFill>
                <a:schemeClr val="bg1"/>
              </a:solidFill>
            </a:rPr>
            <a:t>LCLK</a:t>
          </a:r>
        </a:p>
      </xdr:txBody>
    </xdr:sp>
    <xdr:clientData/>
  </xdr:oneCellAnchor>
  <xdr:oneCellAnchor>
    <xdr:from>
      <xdr:col>1</xdr:col>
      <xdr:colOff>1729218</xdr:colOff>
      <xdr:row>26</xdr:row>
      <xdr:rowOff>431222</xdr:rowOff>
    </xdr:from>
    <xdr:ext cx="440750" cy="217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641D310-A682-4C97-952D-79196D0ACB58}"/>
            </a:ext>
          </a:extLst>
        </xdr:cNvPr>
        <xdr:cNvSpPr txBox="1"/>
      </xdr:nvSpPr>
      <xdr:spPr>
        <a:xfrm>
          <a:off x="2854900" y="8458199"/>
          <a:ext cx="44075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 b="1" u="sng">
              <a:solidFill>
                <a:schemeClr val="bg1"/>
              </a:solidFill>
            </a:rPr>
            <a:t>DATA</a:t>
          </a:r>
        </a:p>
      </xdr:txBody>
    </xdr:sp>
    <xdr:clientData/>
  </xdr:oneCellAnchor>
  <xdr:oneCellAnchor>
    <xdr:from>
      <xdr:col>1</xdr:col>
      <xdr:colOff>1232186</xdr:colOff>
      <xdr:row>26</xdr:row>
      <xdr:rowOff>427759</xdr:rowOff>
    </xdr:from>
    <xdr:ext cx="440750" cy="217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07C021B-C963-42A0-9A6D-C594665B52AD}"/>
            </a:ext>
          </a:extLst>
        </xdr:cNvPr>
        <xdr:cNvSpPr txBox="1"/>
      </xdr:nvSpPr>
      <xdr:spPr>
        <a:xfrm>
          <a:off x="2357868" y="8454736"/>
          <a:ext cx="44075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 b="1" u="sng">
              <a:solidFill>
                <a:schemeClr val="bg1"/>
              </a:solidFill>
            </a:rPr>
            <a:t>BCLK</a:t>
          </a:r>
        </a:p>
      </xdr:txBody>
    </xdr:sp>
    <xdr:clientData/>
  </xdr:oneCellAnchor>
  <xdr:oneCellAnchor>
    <xdr:from>
      <xdr:col>1</xdr:col>
      <xdr:colOff>726495</xdr:colOff>
      <xdr:row>26</xdr:row>
      <xdr:rowOff>450273</xdr:rowOff>
    </xdr:from>
    <xdr:ext cx="440750" cy="217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46625BB-1569-43A0-8069-9243E5257F0F}"/>
            </a:ext>
          </a:extLst>
        </xdr:cNvPr>
        <xdr:cNvSpPr txBox="1"/>
      </xdr:nvSpPr>
      <xdr:spPr>
        <a:xfrm>
          <a:off x="1852177" y="8477250"/>
          <a:ext cx="44075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 b="1" u="sng">
              <a:solidFill>
                <a:srgbClr val="FF0000"/>
              </a:solidFill>
            </a:rPr>
            <a:t>CDET</a:t>
          </a:r>
        </a:p>
      </xdr:txBody>
    </xdr:sp>
    <xdr:clientData/>
  </xdr:oneCellAnchor>
  <xdr:oneCellAnchor>
    <xdr:from>
      <xdr:col>1</xdr:col>
      <xdr:colOff>190500</xdr:colOff>
      <xdr:row>26</xdr:row>
      <xdr:rowOff>446810</xdr:rowOff>
    </xdr:from>
    <xdr:ext cx="488372" cy="217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C4C1218-EBA3-4D88-9C7E-2D8F378FAF02}"/>
            </a:ext>
          </a:extLst>
        </xdr:cNvPr>
        <xdr:cNvSpPr txBox="1"/>
      </xdr:nvSpPr>
      <xdr:spPr>
        <a:xfrm>
          <a:off x="1316182" y="8473787"/>
          <a:ext cx="488372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800" b="1" u="sng">
              <a:solidFill>
                <a:schemeClr val="bg1"/>
              </a:solidFill>
            </a:rPr>
            <a:t>54MHz</a:t>
          </a:r>
        </a:p>
      </xdr:txBody>
    </xdr:sp>
    <xdr:clientData/>
  </xdr:oneCellAnchor>
  <xdr:oneCellAnchor>
    <xdr:from>
      <xdr:col>4</xdr:col>
      <xdr:colOff>2382692</xdr:colOff>
      <xdr:row>1</xdr:row>
      <xdr:rowOff>1644648</xdr:rowOff>
    </xdr:from>
    <xdr:ext cx="870240" cy="71846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276823F-AD98-48D3-B944-2F2A370F6F76}"/>
            </a:ext>
          </a:extLst>
        </xdr:cNvPr>
        <xdr:cNvSpPr txBox="1"/>
      </xdr:nvSpPr>
      <xdr:spPr>
        <a:xfrm>
          <a:off x="9092525" y="1835148"/>
          <a:ext cx="870240" cy="718466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800" b="0" u="sng">
              <a:solidFill>
                <a:schemeClr val="bg1"/>
              </a:solidFill>
            </a:rPr>
            <a:t>Missing</a:t>
          </a:r>
          <a:r>
            <a:rPr lang="en-SG" sz="800" b="0" u="none">
              <a:solidFill>
                <a:schemeClr val="bg1"/>
              </a:solidFill>
            </a:rPr>
            <a:t> </a:t>
          </a:r>
        </a:p>
        <a:p>
          <a:pPr algn="ctr"/>
          <a:r>
            <a:rPr lang="en-SG" sz="800" b="1" u="none">
              <a:solidFill>
                <a:schemeClr val="bg1"/>
              </a:solidFill>
            </a:rPr>
            <a:t>12V</a:t>
          </a:r>
        </a:p>
        <a:p>
          <a:pPr algn="ctr"/>
          <a:r>
            <a:rPr lang="en-SG" sz="800" b="1" u="none">
              <a:solidFill>
                <a:schemeClr val="bg1"/>
              </a:solidFill>
            </a:rPr>
            <a:t>GND</a:t>
          </a:r>
        </a:p>
        <a:p>
          <a:pPr algn="ctr"/>
          <a:r>
            <a:rPr lang="en-SG" sz="800" b="0" u="none">
              <a:solidFill>
                <a:schemeClr val="bg1"/>
              </a:solidFill>
            </a:rPr>
            <a:t>* connect to motherboard</a:t>
          </a:r>
        </a:p>
      </xdr:txBody>
    </xdr:sp>
    <xdr:clientData/>
  </xdr:oneCellAnchor>
  <xdr:oneCellAnchor>
    <xdr:from>
      <xdr:col>1</xdr:col>
      <xdr:colOff>449791</xdr:colOff>
      <xdr:row>47</xdr:row>
      <xdr:rowOff>114876</xdr:rowOff>
    </xdr:from>
    <xdr:ext cx="455446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CC4E21B-C7A7-4D1B-9DD9-38C0006DAEF1}"/>
            </a:ext>
          </a:extLst>
        </xdr:cNvPr>
        <xdr:cNvSpPr txBox="1"/>
      </xdr:nvSpPr>
      <xdr:spPr>
        <a:xfrm>
          <a:off x="1571624" y="14666959"/>
          <a:ext cx="45544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SG" sz="1100" b="1">
              <a:solidFill>
                <a:srgbClr val="FF0000"/>
              </a:solidFill>
            </a:rPr>
            <a:t>GND</a:t>
          </a:r>
        </a:p>
      </xdr:txBody>
    </xdr:sp>
    <xdr:clientData/>
  </xdr:oneCellAnchor>
  <xdr:twoCellAnchor>
    <xdr:from>
      <xdr:col>1</xdr:col>
      <xdr:colOff>946869</xdr:colOff>
      <xdr:row>26</xdr:row>
      <xdr:rowOff>655709</xdr:rowOff>
    </xdr:from>
    <xdr:to>
      <xdr:col>1</xdr:col>
      <xdr:colOff>2942314</xdr:colOff>
      <xdr:row>26</xdr:row>
      <xdr:rowOff>667833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EDD40539-7477-FA8D-BCA6-46B1C892A08D}"/>
            </a:ext>
          </a:extLst>
        </xdr:cNvPr>
        <xdr:cNvCxnSpPr>
          <a:stCxn id="63" idx="2"/>
          <a:endCxn id="42" idx="2"/>
        </xdr:cNvCxnSpPr>
      </xdr:nvCxnSpPr>
      <xdr:spPr>
        <a:xfrm rot="5400000" flipH="1" flipV="1">
          <a:off x="3060363" y="7696798"/>
          <a:ext cx="12124" cy="1995445"/>
        </a:xfrm>
        <a:prstGeom prst="bentConnector3">
          <a:avLst>
            <a:gd name="adj1" fmla="val -1885516"/>
          </a:avLst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434686</xdr:colOff>
      <xdr:row>1</xdr:row>
      <xdr:rowOff>2921000</xdr:rowOff>
    </xdr:from>
    <xdr:to>
      <xdr:col>3</xdr:col>
      <xdr:colOff>243417</xdr:colOff>
      <xdr:row>26</xdr:row>
      <xdr:rowOff>446810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EC1E83D7-A359-2CBB-9741-14F4F46A4EF4}"/>
            </a:ext>
          </a:extLst>
        </xdr:cNvPr>
        <xdr:cNvCxnSpPr>
          <a:stCxn id="64" idx="0"/>
        </xdr:cNvCxnSpPr>
      </xdr:nvCxnSpPr>
      <xdr:spPr>
        <a:xfrm flipV="1">
          <a:off x="1556519" y="3111500"/>
          <a:ext cx="4126731" cy="5368060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1452561</xdr:colOff>
      <xdr:row>1</xdr:row>
      <xdr:rowOff>2973917</xdr:rowOff>
    </xdr:from>
    <xdr:to>
      <xdr:col>3</xdr:col>
      <xdr:colOff>793750</xdr:colOff>
      <xdr:row>26</xdr:row>
      <xdr:rowOff>427759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C1E3945-7E4C-4351-834C-254449BF6B8D}"/>
            </a:ext>
          </a:extLst>
        </xdr:cNvPr>
        <xdr:cNvCxnSpPr>
          <a:stCxn id="62" idx="0"/>
        </xdr:cNvCxnSpPr>
      </xdr:nvCxnSpPr>
      <xdr:spPr>
        <a:xfrm flipV="1">
          <a:off x="2574394" y="3164417"/>
          <a:ext cx="3659189" cy="5296092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1949593</xdr:colOff>
      <xdr:row>1</xdr:row>
      <xdr:rowOff>2963333</xdr:rowOff>
    </xdr:from>
    <xdr:to>
      <xdr:col>3</xdr:col>
      <xdr:colOff>1079500</xdr:colOff>
      <xdr:row>26</xdr:row>
      <xdr:rowOff>431222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27400B58-560B-4B4B-A820-7DB61EF93122}"/>
            </a:ext>
          </a:extLst>
        </xdr:cNvPr>
        <xdr:cNvCxnSpPr>
          <a:stCxn id="61" idx="0"/>
        </xdr:cNvCxnSpPr>
      </xdr:nvCxnSpPr>
      <xdr:spPr>
        <a:xfrm flipV="1">
          <a:off x="3071426" y="3153833"/>
          <a:ext cx="3447907" cy="5310139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2437966</xdr:colOff>
      <xdr:row>1</xdr:row>
      <xdr:rowOff>2963333</xdr:rowOff>
    </xdr:from>
    <xdr:to>
      <xdr:col>4</xdr:col>
      <xdr:colOff>127000</xdr:colOff>
      <xdr:row>26</xdr:row>
      <xdr:rowOff>434686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A7C8B5D6-F6AD-42BC-8CC0-1AB5D595D98B}"/>
            </a:ext>
          </a:extLst>
        </xdr:cNvPr>
        <xdr:cNvCxnSpPr>
          <a:stCxn id="60" idx="0"/>
        </xdr:cNvCxnSpPr>
      </xdr:nvCxnSpPr>
      <xdr:spPr>
        <a:xfrm flipV="1">
          <a:off x="3559799" y="3153833"/>
          <a:ext cx="3277034" cy="5313603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2942315</xdr:colOff>
      <xdr:row>1</xdr:row>
      <xdr:rowOff>2963333</xdr:rowOff>
    </xdr:from>
    <xdr:to>
      <xdr:col>6</xdr:col>
      <xdr:colOff>105834</xdr:colOff>
      <xdr:row>26</xdr:row>
      <xdr:rowOff>438149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51855268-1946-48F1-A7C2-AC7B282EF1FF}"/>
            </a:ext>
          </a:extLst>
        </xdr:cNvPr>
        <xdr:cNvCxnSpPr>
          <a:stCxn id="42" idx="0"/>
        </xdr:cNvCxnSpPr>
      </xdr:nvCxnSpPr>
      <xdr:spPr>
        <a:xfrm flipV="1">
          <a:off x="4064148" y="3153833"/>
          <a:ext cx="5831269" cy="5317066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243017</xdr:colOff>
      <xdr:row>1</xdr:row>
      <xdr:rowOff>2942167</xdr:rowOff>
    </xdr:from>
    <xdr:to>
      <xdr:col>4</xdr:col>
      <xdr:colOff>359834</xdr:colOff>
      <xdr:row>26</xdr:row>
      <xdr:rowOff>449406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F5DBA42E-0B55-4606-ADFB-2CD2A83E83E1}"/>
            </a:ext>
          </a:extLst>
        </xdr:cNvPr>
        <xdr:cNvCxnSpPr>
          <a:stCxn id="39" idx="0"/>
        </xdr:cNvCxnSpPr>
      </xdr:nvCxnSpPr>
      <xdr:spPr>
        <a:xfrm flipV="1">
          <a:off x="5069017" y="3132667"/>
          <a:ext cx="2000650" cy="5349489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116417</xdr:colOff>
      <xdr:row>1</xdr:row>
      <xdr:rowOff>2952750</xdr:rowOff>
    </xdr:from>
    <xdr:to>
      <xdr:col>5</xdr:col>
      <xdr:colOff>444500</xdr:colOff>
      <xdr:row>26</xdr:row>
      <xdr:rowOff>423333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1209A044-8F06-4DAC-B5FC-92CB5FBBBF1F}"/>
            </a:ext>
          </a:extLst>
        </xdr:cNvPr>
        <xdr:cNvCxnSpPr/>
      </xdr:nvCxnSpPr>
      <xdr:spPr>
        <a:xfrm flipV="1">
          <a:off x="5556250" y="3143250"/>
          <a:ext cx="4064000" cy="5312833"/>
        </a:xfrm>
        <a:prstGeom prst="straightConnector1">
          <a:avLst/>
        </a:prstGeom>
        <a:ln>
          <a:solidFill>
            <a:schemeClr val="accent1">
              <a:lumMod val="20000"/>
              <a:lumOff val="8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592716</xdr:colOff>
      <xdr:row>1</xdr:row>
      <xdr:rowOff>2952750</xdr:rowOff>
    </xdr:from>
    <xdr:to>
      <xdr:col>4</xdr:col>
      <xdr:colOff>2349500</xdr:colOff>
      <xdr:row>26</xdr:row>
      <xdr:rowOff>436419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A2AB621C-3DDA-4671-BB2B-242F265129D0}"/>
            </a:ext>
          </a:extLst>
        </xdr:cNvPr>
        <xdr:cNvCxnSpPr>
          <a:stCxn id="37" idx="0"/>
        </xdr:cNvCxnSpPr>
      </xdr:nvCxnSpPr>
      <xdr:spPr>
        <a:xfrm flipV="1">
          <a:off x="6032549" y="3143250"/>
          <a:ext cx="3026784" cy="5325919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1096676</xdr:colOff>
      <xdr:row>1</xdr:row>
      <xdr:rowOff>2952750</xdr:rowOff>
    </xdr:from>
    <xdr:to>
      <xdr:col>5</xdr:col>
      <xdr:colOff>158750</xdr:colOff>
      <xdr:row>26</xdr:row>
      <xdr:rowOff>431223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DBA3CDAF-07C2-4816-BB8A-9C995F052F17}"/>
            </a:ext>
          </a:extLst>
        </xdr:cNvPr>
        <xdr:cNvCxnSpPr>
          <a:stCxn id="36" idx="0"/>
        </xdr:cNvCxnSpPr>
      </xdr:nvCxnSpPr>
      <xdr:spPr>
        <a:xfrm flipV="1">
          <a:off x="6536509" y="3143250"/>
          <a:ext cx="2797991" cy="5320723"/>
        </a:xfrm>
        <a:prstGeom prst="straightConnector1">
          <a:avLst/>
        </a:prstGeom>
        <a:ln>
          <a:solidFill>
            <a:schemeClr val="accent1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328180</xdr:colOff>
      <xdr:row>1</xdr:row>
      <xdr:rowOff>2973917</xdr:rowOff>
    </xdr:from>
    <xdr:to>
      <xdr:col>4</xdr:col>
      <xdr:colOff>2053167</xdr:colOff>
      <xdr:row>26</xdr:row>
      <xdr:rowOff>452005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353F6915-D2DA-454B-A6E4-BB259B7F9CD0}"/>
            </a:ext>
          </a:extLst>
        </xdr:cNvPr>
        <xdr:cNvCxnSpPr>
          <a:stCxn id="35" idx="0"/>
        </xdr:cNvCxnSpPr>
      </xdr:nvCxnSpPr>
      <xdr:spPr>
        <a:xfrm flipV="1">
          <a:off x="7038013" y="3164417"/>
          <a:ext cx="1724987" cy="5320338"/>
        </a:xfrm>
        <a:prstGeom prst="straightConnector1">
          <a:avLst/>
        </a:prstGeom>
        <a:ln>
          <a:solidFill>
            <a:schemeClr val="accent1">
              <a:lumMod val="75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825212</xdr:colOff>
      <xdr:row>1</xdr:row>
      <xdr:rowOff>2942167</xdr:rowOff>
    </xdr:from>
    <xdr:to>
      <xdr:col>4</xdr:col>
      <xdr:colOff>1227667</xdr:colOff>
      <xdr:row>26</xdr:row>
      <xdr:rowOff>446809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62DBD95F-FB21-46E5-B418-F19C9F1D3923}"/>
            </a:ext>
          </a:extLst>
        </xdr:cNvPr>
        <xdr:cNvCxnSpPr>
          <a:stCxn id="34" idx="0"/>
        </xdr:cNvCxnSpPr>
      </xdr:nvCxnSpPr>
      <xdr:spPr>
        <a:xfrm flipV="1">
          <a:off x="7535045" y="3132667"/>
          <a:ext cx="402455" cy="5346892"/>
        </a:xfrm>
        <a:prstGeom prst="straightConnector1">
          <a:avLst/>
        </a:prstGeom>
        <a:ln>
          <a:solidFill>
            <a:schemeClr val="accent5">
              <a:lumMod val="20000"/>
              <a:lumOff val="8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1313585</xdr:colOff>
      <xdr:row>1</xdr:row>
      <xdr:rowOff>2952750</xdr:rowOff>
    </xdr:from>
    <xdr:to>
      <xdr:col>4</xdr:col>
      <xdr:colOff>1788584</xdr:colOff>
      <xdr:row>26</xdr:row>
      <xdr:rowOff>450273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543394B2-308F-4D53-B657-CE345E0486BD}"/>
            </a:ext>
          </a:extLst>
        </xdr:cNvPr>
        <xdr:cNvCxnSpPr>
          <a:stCxn id="33" idx="0"/>
        </xdr:cNvCxnSpPr>
      </xdr:nvCxnSpPr>
      <xdr:spPr>
        <a:xfrm flipV="1">
          <a:off x="8023418" y="3143250"/>
          <a:ext cx="474999" cy="5339773"/>
        </a:xfrm>
        <a:prstGeom prst="straightConnector1">
          <a:avLst/>
        </a:prstGeom>
        <a:ln>
          <a:solidFill>
            <a:schemeClr val="accent5">
              <a:lumMod val="40000"/>
              <a:lumOff val="6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1460500</xdr:colOff>
      <xdr:row>1</xdr:row>
      <xdr:rowOff>2952750</xdr:rowOff>
    </xdr:from>
    <xdr:to>
      <xdr:col>4</xdr:col>
      <xdr:colOff>1842221</xdr:colOff>
      <xdr:row>26</xdr:row>
      <xdr:rowOff>449406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8CBC65E2-854D-4631-8D31-CB521B8B8D12}"/>
            </a:ext>
          </a:extLst>
        </xdr:cNvPr>
        <xdr:cNvCxnSpPr>
          <a:stCxn id="31" idx="0"/>
        </xdr:cNvCxnSpPr>
      </xdr:nvCxnSpPr>
      <xdr:spPr>
        <a:xfrm flipH="1" flipV="1">
          <a:off x="8170333" y="3143250"/>
          <a:ext cx="381721" cy="5338906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920750</xdr:colOff>
      <xdr:row>1</xdr:row>
      <xdr:rowOff>2942167</xdr:rowOff>
    </xdr:from>
    <xdr:to>
      <xdr:col>4</xdr:col>
      <xdr:colOff>2314575</xdr:colOff>
      <xdr:row>26</xdr:row>
      <xdr:rowOff>447675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1B4CD864-C208-47CC-A8FE-D79EAE0771BD}"/>
            </a:ext>
          </a:extLst>
        </xdr:cNvPr>
        <xdr:cNvCxnSpPr>
          <a:stCxn id="30" idx="0"/>
        </xdr:cNvCxnSpPr>
      </xdr:nvCxnSpPr>
      <xdr:spPr>
        <a:xfrm flipH="1" flipV="1">
          <a:off x="7630583" y="3132667"/>
          <a:ext cx="1393825" cy="5347758"/>
        </a:xfrm>
        <a:prstGeom prst="straightConnector1">
          <a:avLst/>
        </a:prstGeom>
        <a:ln>
          <a:solidFill>
            <a:schemeClr val="accent5">
              <a:lumMod val="75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1476374</xdr:colOff>
      <xdr:row>26</xdr:row>
      <xdr:rowOff>929793</xdr:rowOff>
    </xdr:from>
    <xdr:ext cx="904875" cy="593239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9D251D3-062B-48AD-975D-7C56EF425E00}"/>
            </a:ext>
          </a:extLst>
        </xdr:cNvPr>
        <xdr:cNvSpPr txBox="1"/>
      </xdr:nvSpPr>
      <xdr:spPr>
        <a:xfrm>
          <a:off x="2598207" y="8962543"/>
          <a:ext cx="904875" cy="593239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800" b="0" u="none">
              <a:solidFill>
                <a:schemeClr val="bg1"/>
              </a:solidFill>
            </a:rPr>
            <a:t>Pull</a:t>
          </a:r>
          <a:r>
            <a:rPr lang="en-SG" sz="800" b="0" u="none" baseline="0">
              <a:solidFill>
                <a:schemeClr val="bg1"/>
              </a:solidFill>
            </a:rPr>
            <a:t> Cable-Detect High to 3v3 to enable 480p options</a:t>
          </a:r>
          <a:endParaRPr lang="en-SG" sz="800" b="0" u="none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587372</xdr:colOff>
      <xdr:row>74</xdr:row>
      <xdr:rowOff>9043</xdr:rowOff>
    </xdr:from>
    <xdr:ext cx="2883960" cy="87492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EC68381-229E-42CB-93B0-399804AAD622}"/>
            </a:ext>
          </a:extLst>
        </xdr:cNvPr>
        <xdr:cNvSpPr txBox="1"/>
      </xdr:nvSpPr>
      <xdr:spPr>
        <a:xfrm>
          <a:off x="6027205" y="19704626"/>
          <a:ext cx="2883960" cy="8749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1000" b="0" u="none">
              <a:solidFill>
                <a:srgbClr val="FF0000"/>
              </a:solidFill>
            </a:rPr>
            <a:t>CDET can</a:t>
          </a:r>
          <a:r>
            <a:rPr lang="en-SG" sz="1000" b="0" u="none" baseline="0">
              <a:solidFill>
                <a:srgbClr val="FF0000"/>
              </a:solidFill>
            </a:rPr>
            <a:t> be connected directly to 3v3 to pull it high to enable 480p options, so routing it to a soldering pad above is unnecessary. Instead, you can repurpose the CDET pad above as a GND pad for alignment to the main board</a:t>
          </a:r>
          <a:endParaRPr lang="en-SG" sz="1000" b="0" u="none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158750</xdr:colOff>
      <xdr:row>1</xdr:row>
      <xdr:rowOff>920750</xdr:rowOff>
    </xdr:from>
    <xdr:ext cx="2883960" cy="40536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46B23FF-BC8C-48E9-8C25-4E5EC1AA4D65}"/>
            </a:ext>
          </a:extLst>
        </xdr:cNvPr>
        <xdr:cNvSpPr txBox="1"/>
      </xdr:nvSpPr>
      <xdr:spPr>
        <a:xfrm>
          <a:off x="11176000" y="1111250"/>
          <a:ext cx="2883960" cy="4053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SG" sz="1000" b="0" u="none">
              <a:solidFill>
                <a:srgbClr val="FF0000"/>
              </a:solidFill>
            </a:rPr>
            <a:t>The breakout</a:t>
          </a:r>
          <a:r>
            <a:rPr lang="en-SG" sz="1000" b="0" u="none" baseline="0">
              <a:solidFill>
                <a:srgbClr val="FF0000"/>
              </a:solidFill>
            </a:rPr>
            <a:t> board is used for easier visualization  for the mappings</a:t>
          </a:r>
          <a:endParaRPr lang="en-SG" sz="1000" b="0" u="none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2303-8C53-40CA-B548-1812408D7492}">
  <dimension ref="A2:K44"/>
  <sheetViews>
    <sheetView tabSelected="1" topLeftCell="A2" zoomScale="90" zoomScaleNormal="90" workbookViewId="0">
      <selection activeCell="P2" sqref="P2"/>
    </sheetView>
  </sheetViews>
  <sheetFormatPr defaultRowHeight="15" x14ac:dyDescent="0.25"/>
  <cols>
    <col min="1" max="1" width="16.85546875" style="1" bestFit="1" customWidth="1"/>
    <col min="2" max="2" width="55.5703125" customWidth="1"/>
    <col min="4" max="4" width="19" style="1" bestFit="1" customWidth="1"/>
    <col min="5" max="5" width="37" customWidth="1"/>
    <col min="9" max="9" width="26.5703125" style="1" customWidth="1"/>
    <col min="10" max="10" width="19" customWidth="1"/>
    <col min="11" max="11" width="15.140625" bestFit="1" customWidth="1"/>
  </cols>
  <sheetData>
    <row r="2" spans="1:10" ht="257.25" customHeight="1" x14ac:dyDescent="0.25"/>
    <row r="3" spans="1:10" x14ac:dyDescent="0.25">
      <c r="A3" s="2" t="s">
        <v>2</v>
      </c>
      <c r="B3" s="3" t="s">
        <v>0</v>
      </c>
      <c r="D3" s="2" t="s">
        <v>3</v>
      </c>
      <c r="E3" s="3" t="s">
        <v>0</v>
      </c>
      <c r="I3" s="2" t="s">
        <v>3</v>
      </c>
      <c r="J3" s="5" t="s">
        <v>0</v>
      </c>
    </row>
    <row r="4" spans="1:10" x14ac:dyDescent="0.25">
      <c r="A4" s="1">
        <v>1</v>
      </c>
      <c r="B4" t="s">
        <v>21</v>
      </c>
      <c r="C4" t="e">
        <f>_xlfn.XLOOKUP(B4,E:E,D:D)</f>
        <v>#N/A</v>
      </c>
      <c r="D4" s="1">
        <v>1</v>
      </c>
      <c r="E4" s="6" t="s">
        <v>10</v>
      </c>
      <c r="F4">
        <f>_xlfn.XLOOKUP(E4,B:B,A:A)</f>
        <v>5</v>
      </c>
      <c r="I4" s="1">
        <v>1</v>
      </c>
      <c r="J4" t="s">
        <v>9</v>
      </c>
    </row>
    <row r="5" spans="1:10" x14ac:dyDescent="0.25">
      <c r="A5" s="1">
        <v>2</v>
      </c>
      <c r="B5" t="s">
        <v>4</v>
      </c>
      <c r="C5">
        <f t="shared" ref="C5:C25" si="0">_xlfn.XLOOKUP(B5,E:E,D:D)</f>
        <v>16</v>
      </c>
      <c r="D5" s="1">
        <v>2</v>
      </c>
      <c r="E5" s="7" t="s">
        <v>18</v>
      </c>
      <c r="F5">
        <f t="shared" ref="F5:F19" si="1">_xlfn.XLOOKUP(E5,B:B,A:A)</f>
        <v>17</v>
      </c>
      <c r="I5" s="1">
        <v>2</v>
      </c>
      <c r="J5" t="s">
        <v>13</v>
      </c>
    </row>
    <row r="6" spans="1:10" x14ac:dyDescent="0.25">
      <c r="A6" s="1">
        <v>3</v>
      </c>
      <c r="B6" t="s">
        <v>7</v>
      </c>
      <c r="C6">
        <f t="shared" si="0"/>
        <v>11</v>
      </c>
      <c r="D6" s="1">
        <v>3</v>
      </c>
      <c r="E6" s="7" t="s">
        <v>19</v>
      </c>
      <c r="F6">
        <f t="shared" si="1"/>
        <v>18</v>
      </c>
      <c r="I6" s="1">
        <v>3</v>
      </c>
      <c r="J6" t="s">
        <v>12</v>
      </c>
    </row>
    <row r="7" spans="1:10" x14ac:dyDescent="0.25">
      <c r="A7" s="1">
        <v>4</v>
      </c>
      <c r="B7" t="s">
        <v>1</v>
      </c>
      <c r="C7">
        <f t="shared" si="0"/>
        <v>15</v>
      </c>
      <c r="D7" s="1">
        <v>4</v>
      </c>
      <c r="E7" s="7" t="s">
        <v>16</v>
      </c>
      <c r="F7">
        <f t="shared" si="1"/>
        <v>15</v>
      </c>
      <c r="I7" s="1">
        <v>4</v>
      </c>
      <c r="J7" t="s">
        <v>14</v>
      </c>
    </row>
    <row r="8" spans="1:10" x14ac:dyDescent="0.25">
      <c r="A8" s="1">
        <v>5</v>
      </c>
      <c r="B8" s="4" t="s">
        <v>10</v>
      </c>
      <c r="C8">
        <f t="shared" si="0"/>
        <v>1</v>
      </c>
      <c r="D8" s="1">
        <v>5</v>
      </c>
      <c r="E8" s="7" t="s">
        <v>17</v>
      </c>
      <c r="F8">
        <f t="shared" si="1"/>
        <v>16</v>
      </c>
      <c r="I8" s="1">
        <v>5</v>
      </c>
      <c r="J8" t="s">
        <v>15</v>
      </c>
    </row>
    <row r="9" spans="1:10" x14ac:dyDescent="0.25">
      <c r="A9" s="1">
        <v>6</v>
      </c>
      <c r="B9" s="4" t="s">
        <v>11</v>
      </c>
      <c r="C9" t="e">
        <f t="shared" si="0"/>
        <v>#N/A</v>
      </c>
      <c r="D9" s="1">
        <v>6</v>
      </c>
      <c r="E9" s="7" t="s">
        <v>15</v>
      </c>
      <c r="F9">
        <f t="shared" si="1"/>
        <v>13</v>
      </c>
      <c r="I9" s="1">
        <v>6</v>
      </c>
      <c r="J9" t="s">
        <v>16</v>
      </c>
    </row>
    <row r="10" spans="1:10" x14ac:dyDescent="0.25">
      <c r="A10" s="1">
        <v>7</v>
      </c>
      <c r="B10" t="s">
        <v>9</v>
      </c>
      <c r="C10">
        <f t="shared" si="0"/>
        <v>10</v>
      </c>
      <c r="D10" s="1">
        <v>7</v>
      </c>
      <c r="E10" s="7" t="s">
        <v>12</v>
      </c>
      <c r="F10">
        <f t="shared" si="1"/>
        <v>10</v>
      </c>
      <c r="I10" s="1">
        <v>7</v>
      </c>
      <c r="J10" t="s">
        <v>17</v>
      </c>
    </row>
    <row r="11" spans="1:10" x14ac:dyDescent="0.25">
      <c r="A11" s="1">
        <v>8</v>
      </c>
      <c r="B11" t="s">
        <v>1</v>
      </c>
      <c r="C11">
        <f t="shared" si="0"/>
        <v>15</v>
      </c>
      <c r="D11" s="1">
        <v>8</v>
      </c>
      <c r="E11" s="7" t="s">
        <v>13</v>
      </c>
      <c r="F11">
        <f t="shared" si="1"/>
        <v>9</v>
      </c>
      <c r="I11" s="1">
        <v>8</v>
      </c>
      <c r="J11" t="s">
        <v>19</v>
      </c>
    </row>
    <row r="12" spans="1:10" x14ac:dyDescent="0.25">
      <c r="A12" s="1">
        <v>9</v>
      </c>
      <c r="B12" t="s">
        <v>13</v>
      </c>
      <c r="C12">
        <f t="shared" si="0"/>
        <v>8</v>
      </c>
      <c r="D12" s="1">
        <v>9</v>
      </c>
      <c r="E12" s="7" t="s">
        <v>14</v>
      </c>
      <c r="F12">
        <f t="shared" si="1"/>
        <v>12</v>
      </c>
      <c r="I12" s="1">
        <v>9</v>
      </c>
      <c r="J12" t="s">
        <v>7</v>
      </c>
    </row>
    <row r="13" spans="1:10" x14ac:dyDescent="0.25">
      <c r="A13" s="1">
        <v>10</v>
      </c>
      <c r="B13" t="s">
        <v>12</v>
      </c>
      <c r="C13">
        <f t="shared" si="0"/>
        <v>7</v>
      </c>
      <c r="D13" s="1">
        <v>10</v>
      </c>
      <c r="E13" s="7" t="s">
        <v>9</v>
      </c>
      <c r="F13">
        <f t="shared" si="1"/>
        <v>7</v>
      </c>
      <c r="I13" s="1">
        <v>10</v>
      </c>
      <c r="J13" t="s">
        <v>11</v>
      </c>
    </row>
    <row r="14" spans="1:10" x14ac:dyDescent="0.25">
      <c r="A14" s="1">
        <v>11</v>
      </c>
      <c r="B14" t="s">
        <v>1</v>
      </c>
      <c r="C14">
        <f t="shared" si="0"/>
        <v>15</v>
      </c>
      <c r="D14" s="1">
        <v>11</v>
      </c>
      <c r="E14" s="7" t="s">
        <v>7</v>
      </c>
      <c r="F14">
        <f t="shared" si="1"/>
        <v>3</v>
      </c>
      <c r="I14" s="1">
        <v>11</v>
      </c>
      <c r="J14" t="s">
        <v>18</v>
      </c>
    </row>
    <row r="15" spans="1:10" x14ac:dyDescent="0.25">
      <c r="A15" s="1">
        <v>12</v>
      </c>
      <c r="B15" t="s">
        <v>14</v>
      </c>
      <c r="C15">
        <f t="shared" si="0"/>
        <v>9</v>
      </c>
      <c r="D15" s="1">
        <v>12</v>
      </c>
      <c r="E15" s="7" t="s">
        <v>8</v>
      </c>
      <c r="F15">
        <f t="shared" si="1"/>
        <v>19</v>
      </c>
      <c r="I15" s="1">
        <v>12</v>
      </c>
      <c r="J15" t="s">
        <v>8</v>
      </c>
    </row>
    <row r="16" spans="1:10" x14ac:dyDescent="0.25">
      <c r="A16" s="1">
        <v>13</v>
      </c>
      <c r="B16" t="s">
        <v>15</v>
      </c>
      <c r="C16">
        <f t="shared" si="0"/>
        <v>6</v>
      </c>
      <c r="D16" s="1">
        <v>13</v>
      </c>
      <c r="E16" s="7" t="s">
        <v>5</v>
      </c>
      <c r="F16">
        <f t="shared" si="1"/>
        <v>21</v>
      </c>
      <c r="I16" s="1">
        <v>13</v>
      </c>
      <c r="J16" t="s">
        <v>5</v>
      </c>
    </row>
    <row r="17" spans="1:11" x14ac:dyDescent="0.25">
      <c r="A17" s="1">
        <v>14</v>
      </c>
      <c r="B17" t="s">
        <v>1</v>
      </c>
      <c r="C17">
        <f t="shared" si="0"/>
        <v>15</v>
      </c>
      <c r="D17" s="1">
        <v>14</v>
      </c>
      <c r="E17" s="7" t="s">
        <v>20</v>
      </c>
      <c r="F17">
        <f t="shared" si="1"/>
        <v>22</v>
      </c>
      <c r="I17" s="1">
        <v>14</v>
      </c>
      <c r="J17" t="s">
        <v>20</v>
      </c>
    </row>
    <row r="18" spans="1:11" x14ac:dyDescent="0.25">
      <c r="A18" s="1">
        <v>15</v>
      </c>
      <c r="B18" t="s">
        <v>16</v>
      </c>
      <c r="C18">
        <f t="shared" si="0"/>
        <v>4</v>
      </c>
      <c r="D18" s="1">
        <v>15</v>
      </c>
      <c r="E18" s="6" t="s">
        <v>1</v>
      </c>
      <c r="F18">
        <f t="shared" si="1"/>
        <v>4</v>
      </c>
      <c r="I18" s="1">
        <v>15</v>
      </c>
      <c r="J18" t="s">
        <v>21</v>
      </c>
    </row>
    <row r="19" spans="1:11" x14ac:dyDescent="0.25">
      <c r="A19" s="1">
        <v>16</v>
      </c>
      <c r="B19" t="s">
        <v>17</v>
      </c>
      <c r="C19">
        <f t="shared" si="0"/>
        <v>5</v>
      </c>
      <c r="D19" s="1">
        <v>16</v>
      </c>
      <c r="E19" s="7" t="s">
        <v>4</v>
      </c>
      <c r="F19">
        <f t="shared" si="1"/>
        <v>2</v>
      </c>
      <c r="I19" s="1">
        <v>16</v>
      </c>
      <c r="J19" t="s">
        <v>4</v>
      </c>
    </row>
    <row r="20" spans="1:11" x14ac:dyDescent="0.25">
      <c r="A20" s="1">
        <v>17</v>
      </c>
      <c r="B20" s="4" t="s">
        <v>18</v>
      </c>
      <c r="C20">
        <f t="shared" si="0"/>
        <v>2</v>
      </c>
    </row>
    <row r="21" spans="1:11" x14ac:dyDescent="0.25">
      <c r="A21" s="1">
        <v>18</v>
      </c>
      <c r="B21" t="s">
        <v>19</v>
      </c>
      <c r="C21">
        <f t="shared" si="0"/>
        <v>3</v>
      </c>
    </row>
    <row r="22" spans="1:11" x14ac:dyDescent="0.25">
      <c r="A22" s="1">
        <v>19</v>
      </c>
      <c r="B22" t="s">
        <v>8</v>
      </c>
      <c r="C22">
        <f t="shared" si="0"/>
        <v>12</v>
      </c>
    </row>
    <row r="23" spans="1:11" x14ac:dyDescent="0.25">
      <c r="A23" s="1">
        <v>20</v>
      </c>
      <c r="B23" t="s">
        <v>1</v>
      </c>
      <c r="C23">
        <f t="shared" si="0"/>
        <v>15</v>
      </c>
    </row>
    <row r="24" spans="1:11" x14ac:dyDescent="0.25">
      <c r="A24" s="1">
        <v>21</v>
      </c>
      <c r="B24" t="s">
        <v>5</v>
      </c>
      <c r="C24">
        <f t="shared" si="0"/>
        <v>13</v>
      </c>
    </row>
    <row r="25" spans="1:11" x14ac:dyDescent="0.25">
      <c r="A25" s="1">
        <v>22</v>
      </c>
      <c r="B25" t="s">
        <v>20</v>
      </c>
      <c r="C25">
        <f t="shared" si="0"/>
        <v>14</v>
      </c>
    </row>
    <row r="27" spans="1:11" ht="213" customHeight="1" x14ac:dyDescent="0.25"/>
    <row r="28" spans="1:11" x14ac:dyDescent="0.25">
      <c r="J28" s="2" t="s">
        <v>3</v>
      </c>
      <c r="K28" s="5" t="s">
        <v>0</v>
      </c>
    </row>
    <row r="29" spans="1:11" x14ac:dyDescent="0.25">
      <c r="J29" s="1">
        <v>1</v>
      </c>
      <c r="K29" s="6" t="s">
        <v>9</v>
      </c>
    </row>
    <row r="30" spans="1:11" x14ac:dyDescent="0.25">
      <c r="J30" s="1">
        <v>2</v>
      </c>
      <c r="K30" s="6" t="s">
        <v>13</v>
      </c>
    </row>
    <row r="31" spans="1:11" x14ac:dyDescent="0.25">
      <c r="J31" s="1">
        <v>3</v>
      </c>
      <c r="K31" s="6" t="s">
        <v>12</v>
      </c>
    </row>
    <row r="32" spans="1:11" x14ac:dyDescent="0.25">
      <c r="J32" s="1">
        <v>4</v>
      </c>
      <c r="K32" s="6" t="s">
        <v>14</v>
      </c>
    </row>
    <row r="33" spans="10:11" x14ac:dyDescent="0.25">
      <c r="J33" s="1">
        <v>5</v>
      </c>
      <c r="K33" s="6" t="s">
        <v>15</v>
      </c>
    </row>
    <row r="34" spans="10:11" x14ac:dyDescent="0.25">
      <c r="J34" s="1">
        <v>6</v>
      </c>
      <c r="K34" s="6" t="s">
        <v>16</v>
      </c>
    </row>
    <row r="35" spans="10:11" x14ac:dyDescent="0.25">
      <c r="J35" s="1">
        <v>7</v>
      </c>
      <c r="K35" s="6" t="s">
        <v>17</v>
      </c>
    </row>
    <row r="36" spans="10:11" x14ac:dyDescent="0.25">
      <c r="J36" s="1">
        <v>8</v>
      </c>
      <c r="K36" s="6" t="s">
        <v>19</v>
      </c>
    </row>
    <row r="37" spans="10:11" x14ac:dyDescent="0.25">
      <c r="J37" s="1">
        <v>9</v>
      </c>
      <c r="K37" s="6" t="s">
        <v>7</v>
      </c>
    </row>
    <row r="38" spans="10:11" x14ac:dyDescent="0.25">
      <c r="J38" s="1">
        <v>10</v>
      </c>
      <c r="K38" s="6" t="s">
        <v>11</v>
      </c>
    </row>
    <row r="39" spans="10:11" x14ac:dyDescent="0.25">
      <c r="J39" s="1">
        <v>11</v>
      </c>
      <c r="K39" s="6" t="s">
        <v>18</v>
      </c>
    </row>
    <row r="40" spans="10:11" x14ac:dyDescent="0.25">
      <c r="J40" s="1">
        <v>12</v>
      </c>
      <c r="K40" s="6" t="s">
        <v>8</v>
      </c>
    </row>
    <row r="41" spans="10:11" x14ac:dyDescent="0.25">
      <c r="J41" s="1">
        <v>13</v>
      </c>
      <c r="K41" s="6" t="s">
        <v>5</v>
      </c>
    </row>
    <row r="42" spans="10:11" x14ac:dyDescent="0.25">
      <c r="J42" s="1">
        <v>14</v>
      </c>
      <c r="K42" s="6" t="s">
        <v>20</v>
      </c>
    </row>
    <row r="43" spans="10:11" x14ac:dyDescent="0.25">
      <c r="J43" s="1">
        <v>15</v>
      </c>
      <c r="K43" t="s">
        <v>6</v>
      </c>
    </row>
    <row r="44" spans="10:11" x14ac:dyDescent="0.25">
      <c r="J44" s="1">
        <v>16</v>
      </c>
      <c r="K4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Tan</dc:creator>
  <cp:lastModifiedBy>Ivan Tan</cp:lastModifiedBy>
  <dcterms:created xsi:type="dcterms:W3CDTF">2026-06-25T08:09:35Z</dcterms:created>
  <dcterms:modified xsi:type="dcterms:W3CDTF">2026-07-22T06:00:48Z</dcterms:modified>
</cp:coreProperties>
</file>